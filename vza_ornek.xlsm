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BuÇalismaKitabi" defaultThemeVersion="202300"/>
  <mc:AlternateContent xmlns:mc="http://schemas.openxmlformats.org/markup-compatibility/2006">
    <mc:Choice Requires="x15">
      <x15ac:absPath xmlns:x15ac="http://schemas.microsoft.com/office/spreadsheetml/2010/11/ac" url="C:\Users\enes\Desktop\VZA4Teknik\"/>
    </mc:Choice>
  </mc:AlternateContent>
  <xr:revisionPtr revIDLastSave="0" documentId="13_ncr:1_{CE0CE992-BF6D-4AFB-B208-04341AF50B27}" xr6:coauthVersionLast="47" xr6:coauthVersionMax="47" xr10:uidLastSave="{00000000-0000-0000-0000-000000000000}"/>
  <bookViews>
    <workbookView xWindow="-120" yWindow="-120" windowWidth="25440" windowHeight="15270" activeTab="2" xr2:uid="{D014133D-8745-4D03-BADF-5391167AB603}"/>
  </bookViews>
  <sheets>
    <sheet name="IO_CRS" sheetId="1" r:id="rId1"/>
    <sheet name="OO_CRS" sheetId="2" r:id="rId2"/>
    <sheet name="IO_VRS" sheetId="3" r:id="rId3"/>
    <sheet name="OO_VRS" sheetId="4" r:id="rId4"/>
  </sheets>
  <definedNames>
    <definedName name="solver_adj" localSheetId="0" hidden="1">IO_CRS!$B$18:$F$18</definedName>
    <definedName name="solver_adj" localSheetId="2" hidden="1">IO_VRS!$C$18:$G$18,IO_VRS!$B$24</definedName>
    <definedName name="solver_adj" localSheetId="1" hidden="1">OO_CRS!$B$18:$F$18</definedName>
    <definedName name="solver_adj" localSheetId="3" hidden="1">OO_VRS!$B$18:$F$18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cvg" localSheetId="3" hidden="1">0.0001</definedName>
    <definedName name="solver_drv" localSheetId="0" hidden="1">1</definedName>
    <definedName name="solver_drv" localSheetId="2" hidden="1">2</definedName>
    <definedName name="solver_drv" localSheetId="1" hidden="1">1</definedName>
    <definedName name="solver_drv" localSheetId="3" hidden="1">1</definedName>
    <definedName name="solver_eng" localSheetId="0" hidden="1">2</definedName>
    <definedName name="solver_eng" localSheetId="2" hidden="1">2</definedName>
    <definedName name="solver_eng" localSheetId="1" hidden="1">2</definedName>
    <definedName name="solver_eng" localSheetId="3" hidden="1">2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est" localSheetId="3" hidden="1">1</definedName>
    <definedName name="solver_itr" localSheetId="0" hidden="1">2147483647</definedName>
    <definedName name="solver_itr" localSheetId="2" hidden="1">2147483647</definedName>
    <definedName name="solver_itr" localSheetId="1" hidden="1">2147483647</definedName>
    <definedName name="solver_itr" localSheetId="3" hidden="1">2147483647</definedName>
    <definedName name="solver_lhs1" localSheetId="0" hidden="1">IO_CRS!$B$24</definedName>
    <definedName name="solver_lhs1" localSheetId="2" hidden="1">IO_VRS!$B$23</definedName>
    <definedName name="solver_lhs1" localSheetId="1" hidden="1">OO_CRS!$B$18:$F$18</definedName>
    <definedName name="solver_lhs1" localSheetId="3" hidden="1">OO_VRS!$B$18:$F$18</definedName>
    <definedName name="solver_lhs2" localSheetId="0" hidden="1">IO_CRS!$G$3:$G$17</definedName>
    <definedName name="solver_lhs2" localSheetId="2" hidden="1">IO_VRS!$C$18:$G$18</definedName>
    <definedName name="solver_lhs2" localSheetId="1" hidden="1">OO_CRS!$B$23</definedName>
    <definedName name="solver_lhs2" localSheetId="3" hidden="1">OO_VRS!$B$23</definedName>
    <definedName name="solver_lhs3" localSheetId="2" hidden="1">IO_VRS!$H$3:$H$17</definedName>
    <definedName name="solver_lhs3" localSheetId="1" hidden="1">OO_CRS!$G$3:$G$17</definedName>
    <definedName name="solver_lhs3" localSheetId="3" hidden="1">OO_VRS!$G$3:$G$17</definedName>
    <definedName name="solver_mip" localSheetId="0" hidden="1">2147483647</definedName>
    <definedName name="solver_mip" localSheetId="2" hidden="1">2147483647</definedName>
    <definedName name="solver_mip" localSheetId="1" hidden="1">2147483647</definedName>
    <definedName name="solver_mip" localSheetId="3" hidden="1">2147483647</definedName>
    <definedName name="solver_mni" localSheetId="0" hidden="1">30</definedName>
    <definedName name="solver_mni" localSheetId="2" hidden="1">30</definedName>
    <definedName name="solver_mni" localSheetId="1" hidden="1">30</definedName>
    <definedName name="solver_mni" localSheetId="3" hidden="1">30</definedName>
    <definedName name="solver_mrt" localSheetId="0" hidden="1">0.075</definedName>
    <definedName name="solver_mrt" localSheetId="2" hidden="1">0.075</definedName>
    <definedName name="solver_mrt" localSheetId="1" hidden="1">0.075</definedName>
    <definedName name="solver_mrt" localSheetId="3" hidden="1">0.075</definedName>
    <definedName name="solver_msl" localSheetId="0" hidden="1">2</definedName>
    <definedName name="solver_msl" localSheetId="2" hidden="1">2</definedName>
    <definedName name="solver_msl" localSheetId="1" hidden="1">2</definedName>
    <definedName name="solver_msl" localSheetId="3" hidden="1">2</definedName>
    <definedName name="solver_neg" localSheetId="0" hidden="1">1</definedName>
    <definedName name="solver_neg" localSheetId="2" hidden="1">2</definedName>
    <definedName name="solver_neg" localSheetId="1" hidden="1">1</definedName>
    <definedName name="solver_neg" localSheetId="3" hidden="1">2</definedName>
    <definedName name="solver_nod" localSheetId="0" hidden="1">2147483647</definedName>
    <definedName name="solver_nod" localSheetId="2" hidden="1">2147483647</definedName>
    <definedName name="solver_nod" localSheetId="1" hidden="1">2147483647</definedName>
    <definedName name="solver_nod" localSheetId="3" hidden="1">2147483647</definedName>
    <definedName name="solver_num" localSheetId="0" hidden="1">2</definedName>
    <definedName name="solver_num" localSheetId="2" hidden="1">3</definedName>
    <definedName name="solver_num" localSheetId="1" hidden="1">3</definedName>
    <definedName name="solver_num" localSheetId="3" hidden="1">3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nwt" localSheetId="3" hidden="1">1</definedName>
    <definedName name="solver_opt" localSheetId="0" hidden="1">IO_CRS!$B$23</definedName>
    <definedName name="solver_opt" localSheetId="2" hidden="1">IO_VRS!$B$22</definedName>
    <definedName name="solver_opt" localSheetId="1" hidden="1">OO_CRS!$B$24</definedName>
    <definedName name="solver_opt" localSheetId="3" hidden="1">OO_VRS!$B$24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pre" localSheetId="3" hidden="1">0.000001</definedName>
    <definedName name="solver_rbv" localSheetId="0" hidden="1">1</definedName>
    <definedName name="solver_rbv" localSheetId="2" hidden="1">2</definedName>
    <definedName name="solver_rbv" localSheetId="1" hidden="1">1</definedName>
    <definedName name="solver_rbv" localSheetId="3" hidden="1">1</definedName>
    <definedName name="solver_rel1" localSheetId="0" hidden="1">2</definedName>
    <definedName name="solver_rel1" localSheetId="2" hidden="1">2</definedName>
    <definedName name="solver_rel1" localSheetId="1" hidden="1">3</definedName>
    <definedName name="solver_rel1" localSheetId="3" hidden="1">3</definedName>
    <definedName name="solver_rel2" localSheetId="0" hidden="1">1</definedName>
    <definedName name="solver_rel2" localSheetId="2" hidden="1">3</definedName>
    <definedName name="solver_rel2" localSheetId="1" hidden="1">2</definedName>
    <definedName name="solver_rel2" localSheetId="3" hidden="1">2</definedName>
    <definedName name="solver_rel3" localSheetId="2" hidden="1">1</definedName>
    <definedName name="solver_rel3" localSheetId="1" hidden="1">1</definedName>
    <definedName name="solver_rel3" localSheetId="3" hidden="1">1</definedName>
    <definedName name="solver_rhs1" localSheetId="0" hidden="1">1</definedName>
    <definedName name="solver_rhs1" localSheetId="2" hidden="1">1</definedName>
    <definedName name="solver_rhs1" localSheetId="1" hidden="1">0</definedName>
    <definedName name="solver_rhs1" localSheetId="3" hidden="1">0</definedName>
    <definedName name="solver_rhs2" localSheetId="0" hidden="1">0</definedName>
    <definedName name="solver_rhs2" localSheetId="2" hidden="1">0</definedName>
    <definedName name="solver_rhs2" localSheetId="1" hidden="1">1</definedName>
    <definedName name="solver_rhs2" localSheetId="3" hidden="1">1</definedName>
    <definedName name="solver_rhs3" localSheetId="2" hidden="1">0</definedName>
    <definedName name="solver_rhs3" localSheetId="1" hidden="1">0</definedName>
    <definedName name="solver_rhs3" localSheetId="3" hidden="1">0</definedName>
    <definedName name="solver_rlx" localSheetId="0" hidden="1">2</definedName>
    <definedName name="solver_rlx" localSheetId="2" hidden="1">2</definedName>
    <definedName name="solver_rlx" localSheetId="1" hidden="1">2</definedName>
    <definedName name="solver_rlx" localSheetId="3" hidden="1">2</definedName>
    <definedName name="solver_rsd" localSheetId="0" hidden="1">0</definedName>
    <definedName name="solver_rsd" localSheetId="2" hidden="1">0</definedName>
    <definedName name="solver_rsd" localSheetId="1" hidden="1">0</definedName>
    <definedName name="solver_rsd" localSheetId="3" hidden="1">0</definedName>
    <definedName name="solver_scl" localSheetId="0" hidden="1">1</definedName>
    <definedName name="solver_scl" localSheetId="2" hidden="1">2</definedName>
    <definedName name="solver_scl" localSheetId="1" hidden="1">1</definedName>
    <definedName name="solver_scl" localSheetId="3" hidden="1">1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ho" localSheetId="3" hidden="1">2</definedName>
    <definedName name="solver_ssz" localSheetId="0" hidden="1">100</definedName>
    <definedName name="solver_ssz" localSheetId="2" hidden="1">100</definedName>
    <definedName name="solver_ssz" localSheetId="1" hidden="1">100</definedName>
    <definedName name="solver_ssz" localSheetId="3" hidden="1">100</definedName>
    <definedName name="solver_tim" localSheetId="0" hidden="1">2147483647</definedName>
    <definedName name="solver_tim" localSheetId="2" hidden="1">2147483647</definedName>
    <definedName name="solver_tim" localSheetId="1" hidden="1">2147483647</definedName>
    <definedName name="solver_tim" localSheetId="3" hidden="1">2147483647</definedName>
    <definedName name="solver_tol" localSheetId="0" hidden="1">0.01</definedName>
    <definedName name="solver_tol" localSheetId="2" hidden="1">0.01</definedName>
    <definedName name="solver_tol" localSheetId="1" hidden="1">0.01</definedName>
    <definedName name="solver_tol" localSheetId="3" hidden="1">0.01</definedName>
    <definedName name="solver_typ" localSheetId="0" hidden="1">1</definedName>
    <definedName name="solver_typ" localSheetId="2" hidden="1">1</definedName>
    <definedName name="solver_typ" localSheetId="1" hidden="1">2</definedName>
    <definedName name="solver_typ" localSheetId="3" hidden="1">2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al" localSheetId="3" hidden="1">0</definedName>
    <definedName name="solver_ver" localSheetId="0" hidden="1">3</definedName>
    <definedName name="solver_ver" localSheetId="2" hidden="1">3</definedName>
    <definedName name="solver_ver" localSheetId="1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4" l="1"/>
  <c r="B24" i="4"/>
  <c r="B25" i="4" s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3" i="4"/>
  <c r="B2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3" i="2"/>
  <c r="B24" i="2"/>
  <c r="B25" i="2" s="1"/>
  <c r="B23" i="2"/>
  <c r="B23" i="3"/>
  <c r="B22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3" i="3"/>
  <c r="B2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3" i="1"/>
</calcChain>
</file>

<file path=xl/sharedStrings.xml><?xml version="1.0" encoding="utf-8"?>
<sst xmlns="http://schemas.openxmlformats.org/spreadsheetml/2006/main" count="163" uniqueCount="40">
  <si>
    <t>Input1</t>
  </si>
  <si>
    <t>Input2</t>
  </si>
  <si>
    <t>Weighted output / efficiency score</t>
  </si>
  <si>
    <t>weighted input</t>
  </si>
  <si>
    <t>Button Results</t>
  </si>
  <si>
    <t>Mitsibushi</t>
  </si>
  <si>
    <t>Mitsui</t>
  </si>
  <si>
    <t>Itochu</t>
  </si>
  <si>
    <t>General Motors</t>
  </si>
  <si>
    <t>Sumitomo</t>
  </si>
  <si>
    <t>Marubeni</t>
  </si>
  <si>
    <t>Ford Motor</t>
  </si>
  <si>
    <t>Toyota Motor</t>
  </si>
  <si>
    <t>Exxon</t>
  </si>
  <si>
    <t>Royal Dutch/Shell Group</t>
  </si>
  <si>
    <t>Wal-Mart</t>
  </si>
  <si>
    <t>Hitachi</t>
  </si>
  <si>
    <t>Nippon Life Insurance</t>
  </si>
  <si>
    <t>Nippon Telegraph &amp; Telephone</t>
  </si>
  <si>
    <t>AT&amp;T</t>
  </si>
  <si>
    <t>Firma</t>
  </si>
  <si>
    <t>Output 2</t>
  </si>
  <si>
    <t>Output 1</t>
  </si>
  <si>
    <t>Input 3</t>
  </si>
  <si>
    <t>input1</t>
  </si>
  <si>
    <t>efficiency Results</t>
  </si>
  <si>
    <t>v1</t>
  </si>
  <si>
    <t>v2</t>
  </si>
  <si>
    <t>m1</t>
  </si>
  <si>
    <t>dmu</t>
  </si>
  <si>
    <t>Ağırlıklı çıktı</t>
  </si>
  <si>
    <t>Ağırlıklı Girdi</t>
  </si>
  <si>
    <t>M0</t>
  </si>
  <si>
    <t>Input 2</t>
  </si>
  <si>
    <t>input3</t>
  </si>
  <si>
    <t>OUTPUT 2</t>
  </si>
  <si>
    <t>OUTPUT 1</t>
  </si>
  <si>
    <t>Weighted output</t>
  </si>
  <si>
    <t>efficiency score</t>
  </si>
  <si>
    <t>v0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</si>
</sst>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11"/>
      <color rgb="FFFF0000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sz val="11"/>
      <color theme="9"/>
      <name val="Aptos Narrow"/>
      <family val="2"/>
      <charset val="162"/>
      <scheme val="minor"/>
    </font>
    <font>
      <sz val="11"/>
      <color rgb="FFFFFF00"/>
      <name val="Aptos Narrow"/>
      <family val="2"/>
      <charset val="16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applyAlignment="1">
      <alignment horizontal="center"/>
    </xf>
    <xf numFmtId="0" fontId="1" fillId="4" borderId="0" xfId="0" applyFont="1" applyFill="1"/>
    <xf numFmtId="0" fontId="4" fillId="0" borderId="0" xfId="0" applyFont="1" applyAlignment="1">
      <alignment vertical="top"/>
    </xf>
    <xf numFmtId="1" fontId="0" fillId="3" borderId="0" xfId="0" applyNumberFormat="1" applyFill="1"/>
    <xf numFmtId="1" fontId="0" fillId="2" borderId="0" xfId="0" applyNumberFormat="1" applyFill="1" applyAlignment="1">
      <alignment horizontal="center" vertical="top"/>
    </xf>
    <xf numFmtId="1" fontId="0" fillId="5" borderId="0" xfId="0" applyNumberFormat="1" applyFill="1" applyAlignment="1">
      <alignment horizontal="center" vertical="top"/>
    </xf>
    <xf numFmtId="1" fontId="0" fillId="6" borderId="0" xfId="0" applyNumberFormat="1" applyFill="1" applyAlignment="1">
      <alignment horizontal="center" vertical="top"/>
    </xf>
    <xf numFmtId="0" fontId="1" fillId="2" borderId="0" xfId="0" applyFont="1" applyFill="1"/>
    <xf numFmtId="2" fontId="1" fillId="0" borderId="0" xfId="0" applyNumberFormat="1" applyFont="1"/>
    <xf numFmtId="2" fontId="5" fillId="7" borderId="0" xfId="0" applyNumberFormat="1" applyFont="1" applyFill="1"/>
    <xf numFmtId="2" fontId="0" fillId="0" borderId="0" xfId="0" applyNumberFormat="1" applyAlignment="1">
      <alignment horizontal="center"/>
    </xf>
    <xf numFmtId="0" fontId="0" fillId="8" borderId="0" xfId="0" applyFill="1"/>
    <xf numFmtId="0" fontId="0" fillId="0" borderId="0" xfId="0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0" fontId="1" fillId="11" borderId="0" xfId="0" applyFont="1" applyFill="1"/>
    <xf numFmtId="2" fontId="4" fillId="2" borderId="0" xfId="0" applyNumberFormat="1" applyFont="1" applyFill="1" applyAlignment="1">
      <alignment vertical="top"/>
    </xf>
    <xf numFmtId="2" fontId="4" fillId="0" borderId="0" xfId="0" applyNumberFormat="1" applyFont="1" applyAlignment="1">
      <alignment vertical="top"/>
    </xf>
    <xf numFmtId="2" fontId="4" fillId="2" borderId="0" xfId="0" applyNumberFormat="1" applyFont="1" applyFill="1"/>
    <xf numFmtId="0" fontId="0" fillId="13" borderId="0" xfId="0" applyFill="1"/>
    <xf numFmtId="2" fontId="0" fillId="0" borderId="0" xfId="0" applyNumberFormat="1"/>
    <xf numFmtId="0" fontId="1" fillId="2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2" fontId="0" fillId="2" borderId="0" xfId="0" applyNumberFormat="1" applyFill="1"/>
    <xf numFmtId="2" fontId="0" fillId="1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22</xdr:row>
          <xdr:rowOff>609600</xdr:rowOff>
        </xdr:from>
        <xdr:to>
          <xdr:col>7</xdr:col>
          <xdr:colOff>333375</xdr:colOff>
          <xdr:row>22</xdr:row>
          <xdr:rowOff>838200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Düğme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22</xdr:row>
          <xdr:rowOff>28575</xdr:rowOff>
        </xdr:from>
        <xdr:to>
          <xdr:col>7</xdr:col>
          <xdr:colOff>152400</xdr:colOff>
          <xdr:row>25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Düğme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22</xdr:row>
          <xdr:rowOff>114300</xdr:rowOff>
        </xdr:from>
        <xdr:to>
          <xdr:col>8</xdr:col>
          <xdr:colOff>342900</xdr:colOff>
          <xdr:row>27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Düğme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22</xdr:row>
          <xdr:rowOff>57150</xdr:rowOff>
        </xdr:from>
        <xdr:to>
          <xdr:col>7</xdr:col>
          <xdr:colOff>66675</xdr:colOff>
          <xdr:row>26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Düğme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5129-FFFB-41BC-9591-A301D5606006}">
  <sheetPr codeName="Sayfa1"/>
  <dimension ref="A1:N24"/>
  <sheetViews>
    <sheetView zoomScale="110" zoomScaleNormal="110" workbookViewId="0">
      <selection activeCell="I20" sqref="I20"/>
    </sheetView>
  </sheetViews>
  <sheetFormatPr defaultRowHeight="15" x14ac:dyDescent="0.25"/>
  <cols>
    <col min="1" max="1" width="28.5703125" customWidth="1"/>
    <col min="13" max="13" width="12" customWidth="1"/>
    <col min="14" max="14" width="8.85546875" customWidth="1"/>
  </cols>
  <sheetData>
    <row r="1" spans="1:14" x14ac:dyDescent="0.25">
      <c r="N1" s="10" t="s">
        <v>4</v>
      </c>
    </row>
    <row r="2" spans="1:14" x14ac:dyDescent="0.25">
      <c r="B2" t="s">
        <v>0</v>
      </c>
      <c r="C2" t="s">
        <v>1</v>
      </c>
      <c r="D2" t="s">
        <v>23</v>
      </c>
      <c r="E2" t="s">
        <v>22</v>
      </c>
      <c r="F2" t="s">
        <v>21</v>
      </c>
      <c r="M2" s="5" t="s">
        <v>5</v>
      </c>
      <c r="N2" s="11">
        <v>0.66265821027623595</v>
      </c>
    </row>
    <row r="3" spans="1:14" x14ac:dyDescent="0.25">
      <c r="A3" s="5" t="s">
        <v>5</v>
      </c>
      <c r="B3" s="8">
        <v>91921</v>
      </c>
      <c r="C3" s="8">
        <v>10950</v>
      </c>
      <c r="D3" s="8">
        <v>36000</v>
      </c>
      <c r="E3" s="9">
        <v>184365</v>
      </c>
      <c r="F3" s="9">
        <v>346</v>
      </c>
      <c r="G3" s="6">
        <f>SUMPRODUCT($E$18:$F$18,E3:F3) - SUMPRODUCT($B$18:$D$18,B3:D3)</f>
        <v>-0.40700782248866429</v>
      </c>
      <c r="M3" s="5" t="s">
        <v>6</v>
      </c>
      <c r="N3" s="12">
        <v>1</v>
      </c>
    </row>
    <row r="4" spans="1:14" x14ac:dyDescent="0.25">
      <c r="A4" s="5" t="s">
        <v>6</v>
      </c>
      <c r="B4" s="8">
        <v>68771</v>
      </c>
      <c r="C4" s="8">
        <v>5554</v>
      </c>
      <c r="D4" s="8">
        <v>80000</v>
      </c>
      <c r="E4" s="9">
        <v>181519</v>
      </c>
      <c r="F4" s="9">
        <v>315</v>
      </c>
      <c r="G4" s="6">
        <f t="shared" ref="G4:G17" si="0">SUMPRODUCT($E$18:$F$18,E4:F4) - SUMPRODUCT($B$18:$D$18,B4:D4)</f>
        <v>-0.15731377967997762</v>
      </c>
      <c r="M4" s="5" t="s">
        <v>7</v>
      </c>
      <c r="N4" s="12">
        <v>0.99999999999999989</v>
      </c>
    </row>
    <row r="5" spans="1:14" x14ac:dyDescent="0.25">
      <c r="A5" s="5" t="s">
        <v>7</v>
      </c>
      <c r="B5" s="8">
        <v>65709</v>
      </c>
      <c r="C5" s="8">
        <v>4271</v>
      </c>
      <c r="D5" s="8">
        <v>7182</v>
      </c>
      <c r="E5" s="9">
        <v>169165</v>
      </c>
      <c r="F5" s="9">
        <v>121</v>
      </c>
      <c r="G5" s="6">
        <f t="shared" si="0"/>
        <v>-0.17205549442009216</v>
      </c>
      <c r="M5" s="5" t="s">
        <v>8</v>
      </c>
      <c r="N5" s="12">
        <v>1.0000000000000002</v>
      </c>
    </row>
    <row r="6" spans="1:14" x14ac:dyDescent="0.25">
      <c r="A6" s="5" t="s">
        <v>8</v>
      </c>
      <c r="B6" s="8">
        <v>217123</v>
      </c>
      <c r="C6" s="8">
        <v>23346</v>
      </c>
      <c r="D6" s="8">
        <v>709000</v>
      </c>
      <c r="E6" s="9">
        <v>168829</v>
      </c>
      <c r="F6" s="9">
        <v>6881</v>
      </c>
      <c r="G6" s="6">
        <f t="shared" si="0"/>
        <v>-1.5930746026294904</v>
      </c>
      <c r="M6" s="5" t="s">
        <v>9</v>
      </c>
      <c r="N6" s="12">
        <v>1</v>
      </c>
    </row>
    <row r="7" spans="1:14" x14ac:dyDescent="0.25">
      <c r="A7" s="5" t="s">
        <v>9</v>
      </c>
      <c r="B7" s="8">
        <v>50269</v>
      </c>
      <c r="C7" s="8">
        <v>6681</v>
      </c>
      <c r="D7" s="8">
        <v>6193</v>
      </c>
      <c r="E7" s="9">
        <v>167531</v>
      </c>
      <c r="F7" s="9">
        <v>211</v>
      </c>
      <c r="G7" s="6">
        <f t="shared" si="0"/>
        <v>0</v>
      </c>
      <c r="M7" s="5" t="s">
        <v>10</v>
      </c>
      <c r="N7" s="11">
        <v>0.97242415261714965</v>
      </c>
    </row>
    <row r="8" spans="1:14" x14ac:dyDescent="0.25">
      <c r="A8" s="5" t="s">
        <v>10</v>
      </c>
      <c r="B8" s="8">
        <v>71439</v>
      </c>
      <c r="C8" s="8">
        <v>5239</v>
      </c>
      <c r="D8" s="8">
        <v>6702</v>
      </c>
      <c r="E8" s="9">
        <v>161057</v>
      </c>
      <c r="F8" s="9">
        <v>157</v>
      </c>
      <c r="G8" s="6">
        <f t="shared" si="0"/>
        <v>-0.26195412949456154</v>
      </c>
      <c r="M8" s="5" t="s">
        <v>11</v>
      </c>
      <c r="N8" s="11">
        <v>0.73715097354880632</v>
      </c>
    </row>
    <row r="9" spans="1:14" x14ac:dyDescent="0.25">
      <c r="A9" s="5" t="s">
        <v>11</v>
      </c>
      <c r="B9" s="8">
        <v>243283</v>
      </c>
      <c r="C9" s="8">
        <v>24547</v>
      </c>
      <c r="D9" s="8">
        <v>346990</v>
      </c>
      <c r="E9" s="9">
        <v>137137</v>
      </c>
      <c r="F9" s="9">
        <v>4139</v>
      </c>
      <c r="G9" s="6">
        <f t="shared" si="0"/>
        <v>-2.1077369204340228</v>
      </c>
      <c r="M9" s="5" t="s">
        <v>12</v>
      </c>
      <c r="N9" s="11">
        <v>0.52450732835300673</v>
      </c>
    </row>
    <row r="10" spans="1:14" x14ac:dyDescent="0.25">
      <c r="A10" s="5" t="s">
        <v>12</v>
      </c>
      <c r="B10" s="8">
        <v>106004</v>
      </c>
      <c r="C10" s="8">
        <v>49692</v>
      </c>
      <c r="D10" s="8">
        <v>146855</v>
      </c>
      <c r="E10" s="9">
        <v>111052</v>
      </c>
      <c r="F10" s="9">
        <v>2662</v>
      </c>
      <c r="G10" s="6">
        <f t="shared" si="0"/>
        <v>-0.71190743938135359</v>
      </c>
      <c r="M10" s="5" t="s">
        <v>13</v>
      </c>
      <c r="N10" s="12">
        <v>1</v>
      </c>
    </row>
    <row r="11" spans="1:14" x14ac:dyDescent="0.25">
      <c r="A11" s="5" t="s">
        <v>13</v>
      </c>
      <c r="B11" s="8">
        <v>91296</v>
      </c>
      <c r="C11" s="8">
        <v>40436</v>
      </c>
      <c r="D11" s="8">
        <v>82000</v>
      </c>
      <c r="E11" s="9">
        <v>110009</v>
      </c>
      <c r="F11" s="9">
        <v>6470</v>
      </c>
      <c r="G11" s="6">
        <f t="shared" si="0"/>
        <v>-0.39014426869809493</v>
      </c>
      <c r="M11" s="5" t="s">
        <v>14</v>
      </c>
      <c r="N11" s="11">
        <v>0.84147247651884371</v>
      </c>
    </row>
    <row r="12" spans="1:14" x14ac:dyDescent="0.25">
      <c r="A12" s="5" t="s">
        <v>14</v>
      </c>
      <c r="B12" s="8">
        <v>118012</v>
      </c>
      <c r="C12" s="8">
        <v>58986</v>
      </c>
      <c r="D12" s="8">
        <v>104000</v>
      </c>
      <c r="E12" s="9">
        <v>109834</v>
      </c>
      <c r="F12" s="9">
        <v>6905</v>
      </c>
      <c r="G12" s="6">
        <f t="shared" si="0"/>
        <v>-0.67304800602672032</v>
      </c>
      <c r="M12" s="5" t="s">
        <v>15</v>
      </c>
      <c r="N12" s="12">
        <v>0.99999999999999978</v>
      </c>
    </row>
    <row r="13" spans="1:14" x14ac:dyDescent="0.25">
      <c r="A13" s="5" t="s">
        <v>15</v>
      </c>
      <c r="B13" s="8">
        <v>37871</v>
      </c>
      <c r="C13" s="8">
        <v>14762</v>
      </c>
      <c r="D13" s="8">
        <v>675000</v>
      </c>
      <c r="E13" s="9">
        <v>93627</v>
      </c>
      <c r="F13" s="9">
        <v>2740</v>
      </c>
      <c r="G13" s="6">
        <f t="shared" si="0"/>
        <v>0</v>
      </c>
      <c r="M13" s="5" t="s">
        <v>16</v>
      </c>
      <c r="N13" s="11">
        <v>0.38606081084664301</v>
      </c>
    </row>
    <row r="14" spans="1:14" x14ac:dyDescent="0.25">
      <c r="A14" s="5" t="s">
        <v>16</v>
      </c>
      <c r="B14" s="8">
        <v>91621</v>
      </c>
      <c r="C14" s="8">
        <v>29907</v>
      </c>
      <c r="D14" s="8">
        <v>331852</v>
      </c>
      <c r="E14" s="9">
        <v>84167</v>
      </c>
      <c r="F14" s="9">
        <v>1469</v>
      </c>
      <c r="G14" s="6">
        <f t="shared" si="0"/>
        <v>-0.68947790590525937</v>
      </c>
      <c r="M14" s="5" t="s">
        <v>17</v>
      </c>
      <c r="N14" s="12">
        <v>1.0000000000000002</v>
      </c>
    </row>
    <row r="15" spans="1:14" x14ac:dyDescent="0.25">
      <c r="A15" s="5" t="s">
        <v>17</v>
      </c>
      <c r="B15" s="8">
        <v>364763</v>
      </c>
      <c r="C15" s="8">
        <v>2242</v>
      </c>
      <c r="D15" s="8">
        <v>89690</v>
      </c>
      <c r="E15" s="9">
        <v>83207</v>
      </c>
      <c r="F15" s="9">
        <v>2427</v>
      </c>
      <c r="G15" s="6">
        <f t="shared" si="0"/>
        <v>-3.72549404689192</v>
      </c>
      <c r="M15" s="5" t="s">
        <v>18</v>
      </c>
      <c r="N15" s="11">
        <v>0.34855267665878414</v>
      </c>
    </row>
    <row r="16" spans="1:14" x14ac:dyDescent="0.25">
      <c r="A16" s="5" t="s">
        <v>18</v>
      </c>
      <c r="B16" s="8">
        <v>127077</v>
      </c>
      <c r="C16" s="8">
        <v>42240</v>
      </c>
      <c r="D16" s="8">
        <v>231400</v>
      </c>
      <c r="E16" s="9">
        <v>81937</v>
      </c>
      <c r="F16" s="9">
        <v>2209</v>
      </c>
      <c r="G16" s="6">
        <f t="shared" si="0"/>
        <v>-1.064745315351896</v>
      </c>
      <c r="M16" s="5" t="s">
        <v>19</v>
      </c>
      <c r="N16" s="11">
        <v>0.27037203877318772</v>
      </c>
    </row>
    <row r="17" spans="1:12" x14ac:dyDescent="0.25">
      <c r="A17" s="5" t="s">
        <v>19</v>
      </c>
      <c r="B17" s="8">
        <v>88884</v>
      </c>
      <c r="C17" s="8">
        <v>17274</v>
      </c>
      <c r="D17" s="8">
        <v>299300</v>
      </c>
      <c r="E17" s="9">
        <v>79609</v>
      </c>
      <c r="F17" s="9">
        <v>139</v>
      </c>
      <c r="G17" s="6">
        <f t="shared" si="0"/>
        <v>-0.72962796122681228</v>
      </c>
    </row>
    <row r="18" spans="1:12" x14ac:dyDescent="0.25">
      <c r="B18" s="1">
        <v>1.1250618784033121E-5</v>
      </c>
      <c r="C18" s="1">
        <v>0</v>
      </c>
      <c r="D18" s="1">
        <v>0</v>
      </c>
      <c r="E18" s="7">
        <v>3.3229992487400607E-6</v>
      </c>
      <c r="F18" s="1">
        <v>4.195245741180023E-5</v>
      </c>
    </row>
    <row r="20" spans="1:12" x14ac:dyDescent="0.25">
      <c r="A20" s="2" t="s">
        <v>20</v>
      </c>
      <c r="B20" s="4">
        <v>15</v>
      </c>
      <c r="C20" s="4"/>
    </row>
    <row r="23" spans="1:12" ht="78" customHeight="1" x14ac:dyDescent="0.25">
      <c r="A23" s="3" t="s">
        <v>2</v>
      </c>
      <c r="B23" s="13">
        <f>SUMPRODUCT($E$18:$F$18,INDEX(E3:F17,B20,0))</f>
        <v>0.27037203877318772</v>
      </c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25">
      <c r="A24" t="s">
        <v>3</v>
      </c>
      <c r="B24">
        <f>SUMPRODUCT($B$18:$D$18,INDEX(B3:D17,B20,0))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">
                <anchor moveWithCells="1">
                  <from>
                    <xdr:col>6</xdr:col>
                    <xdr:colOff>400050</xdr:colOff>
                    <xdr:row>22</xdr:row>
                    <xdr:rowOff>609600</xdr:rowOff>
                  </from>
                  <to>
                    <xdr:col>7</xdr:col>
                    <xdr:colOff>333375</xdr:colOff>
                    <xdr:row>22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64018-1690-459E-B819-6A2AB78C0A36}">
  <sheetPr codeName="Sayfa2"/>
  <dimension ref="A2:M25"/>
  <sheetViews>
    <sheetView workbookViewId="0">
      <selection activeCell="L29" sqref="L29"/>
    </sheetView>
  </sheetViews>
  <sheetFormatPr defaultRowHeight="15" x14ac:dyDescent="0.25"/>
  <cols>
    <col min="1" max="1" width="31.140625" bestFit="1" customWidth="1"/>
    <col min="12" max="12" width="24.85546875" customWidth="1"/>
    <col min="13" max="13" width="18.140625" customWidth="1"/>
  </cols>
  <sheetData>
    <row r="2" spans="1:13" x14ac:dyDescent="0.25">
      <c r="B2" t="s">
        <v>0</v>
      </c>
      <c r="C2" t="s">
        <v>1</v>
      </c>
      <c r="D2" t="s">
        <v>23</v>
      </c>
      <c r="E2" t="s">
        <v>22</v>
      </c>
      <c r="F2" t="s">
        <v>21</v>
      </c>
      <c r="M2" s="5" t="s">
        <v>25</v>
      </c>
    </row>
    <row r="3" spans="1:13" x14ac:dyDescent="0.25">
      <c r="A3" s="5" t="s">
        <v>5</v>
      </c>
      <c r="B3" s="8">
        <v>91921</v>
      </c>
      <c r="C3" s="8">
        <v>10950</v>
      </c>
      <c r="D3" s="8">
        <v>36000</v>
      </c>
      <c r="E3" s="9">
        <v>184365</v>
      </c>
      <c r="F3" s="9">
        <v>346</v>
      </c>
      <c r="G3" s="6">
        <f>SUMPRODUCT($E$18:$F$18,E3:F3) - SUMPRODUCT($B$18:$D$18,B3:D3)</f>
        <v>-1.5053621089498006</v>
      </c>
      <c r="L3" s="5" t="s">
        <v>5</v>
      </c>
      <c r="M3" s="21">
        <v>0.66265821027623439</v>
      </c>
    </row>
    <row r="4" spans="1:13" x14ac:dyDescent="0.25">
      <c r="A4" s="5" t="s">
        <v>6</v>
      </c>
      <c r="B4" s="8">
        <v>68771</v>
      </c>
      <c r="C4" s="8">
        <v>5554</v>
      </c>
      <c r="D4" s="8">
        <v>80000</v>
      </c>
      <c r="E4" s="9">
        <v>181519</v>
      </c>
      <c r="F4" s="9">
        <v>315</v>
      </c>
      <c r="G4" s="6">
        <f t="shared" ref="G4:G17" si="0">SUMPRODUCT($E$18:$F$18,E4:F4) - SUMPRODUCT($B$18:$D$18,B4:D4)</f>
        <v>-0.58184189605473913</v>
      </c>
      <c r="L4" s="5" t="s">
        <v>6</v>
      </c>
      <c r="M4" s="22">
        <v>0.99999999999999822</v>
      </c>
    </row>
    <row r="5" spans="1:13" x14ac:dyDescent="0.25">
      <c r="A5" s="5" t="s">
        <v>7</v>
      </c>
      <c r="B5" s="8">
        <v>65709</v>
      </c>
      <c r="C5" s="8">
        <v>4271</v>
      </c>
      <c r="D5" s="8">
        <v>7182</v>
      </c>
      <c r="E5" s="9">
        <v>169165</v>
      </c>
      <c r="F5" s="9">
        <v>121</v>
      </c>
      <c r="G5" s="6">
        <f t="shared" si="0"/>
        <v>-0.63636571000756081</v>
      </c>
      <c r="L5" s="5" t="s">
        <v>7</v>
      </c>
      <c r="M5" s="22">
        <v>0.99999999999999956</v>
      </c>
    </row>
    <row r="6" spans="1:13" x14ac:dyDescent="0.25">
      <c r="A6" s="5" t="s">
        <v>8</v>
      </c>
      <c r="B6" s="8">
        <v>217123</v>
      </c>
      <c r="C6" s="8">
        <v>23346</v>
      </c>
      <c r="D6" s="8">
        <v>709000</v>
      </c>
      <c r="E6" s="9">
        <v>168829</v>
      </c>
      <c r="F6" s="9">
        <v>6881</v>
      </c>
      <c r="G6" s="6">
        <f t="shared" si="0"/>
        <v>-5.8921573763990605</v>
      </c>
      <c r="L6" s="5" t="s">
        <v>8</v>
      </c>
      <c r="M6" s="22">
        <v>1.0000000000000024</v>
      </c>
    </row>
    <row r="7" spans="1:13" x14ac:dyDescent="0.25">
      <c r="A7" s="5" t="s">
        <v>9</v>
      </c>
      <c r="B7" s="8">
        <v>50269</v>
      </c>
      <c r="C7" s="8">
        <v>6681</v>
      </c>
      <c r="D7" s="8">
        <v>6193</v>
      </c>
      <c r="E7" s="9">
        <v>167531</v>
      </c>
      <c r="F7" s="9">
        <v>211</v>
      </c>
      <c r="G7" s="6">
        <f t="shared" si="0"/>
        <v>0</v>
      </c>
      <c r="L7" s="5" t="s">
        <v>9</v>
      </c>
      <c r="M7" s="22">
        <v>1.0000000000000018</v>
      </c>
    </row>
    <row r="8" spans="1:13" x14ac:dyDescent="0.25">
      <c r="A8" s="5" t="s">
        <v>10</v>
      </c>
      <c r="B8" s="8">
        <v>71439</v>
      </c>
      <c r="C8" s="8">
        <v>5239</v>
      </c>
      <c r="D8" s="8">
        <v>6702</v>
      </c>
      <c r="E8" s="9">
        <v>161057</v>
      </c>
      <c r="F8" s="9">
        <v>157</v>
      </c>
      <c r="G8" s="6">
        <f t="shared" si="0"/>
        <v>-0.96886545917683176</v>
      </c>
      <c r="L8" s="5" t="s">
        <v>10</v>
      </c>
      <c r="M8" s="21">
        <v>0.97242415261713144</v>
      </c>
    </row>
    <row r="9" spans="1:13" x14ac:dyDescent="0.25">
      <c r="A9" s="5" t="s">
        <v>11</v>
      </c>
      <c r="B9" s="8">
        <v>243283</v>
      </c>
      <c r="C9" s="8">
        <v>24547</v>
      </c>
      <c r="D9" s="8">
        <v>346990</v>
      </c>
      <c r="E9" s="9">
        <v>137137</v>
      </c>
      <c r="F9" s="9">
        <v>4139</v>
      </c>
      <c r="G9" s="6">
        <f t="shared" si="0"/>
        <v>-7.795691189066261</v>
      </c>
      <c r="L9" s="5" t="s">
        <v>11</v>
      </c>
      <c r="M9" s="21">
        <v>0.7371509735488051</v>
      </c>
    </row>
    <row r="10" spans="1:13" x14ac:dyDescent="0.25">
      <c r="A10" s="5" t="s">
        <v>12</v>
      </c>
      <c r="B10" s="8">
        <v>106004</v>
      </c>
      <c r="C10" s="8">
        <v>49692</v>
      </c>
      <c r="D10" s="8">
        <v>146855</v>
      </c>
      <c r="E10" s="9">
        <v>111052</v>
      </c>
      <c r="F10" s="9">
        <v>2662</v>
      </c>
      <c r="G10" s="6">
        <f t="shared" si="0"/>
        <v>-2.6330660619035573</v>
      </c>
      <c r="L10" s="5" t="s">
        <v>12</v>
      </c>
      <c r="M10" s="21">
        <v>0.52450732835299352</v>
      </c>
    </row>
    <row r="11" spans="1:13" x14ac:dyDescent="0.25">
      <c r="A11" s="5" t="s">
        <v>13</v>
      </c>
      <c r="B11" s="8">
        <v>91296</v>
      </c>
      <c r="C11" s="8">
        <v>40436</v>
      </c>
      <c r="D11" s="8">
        <v>82000</v>
      </c>
      <c r="E11" s="9">
        <v>110009</v>
      </c>
      <c r="F11" s="9">
        <v>6470</v>
      </c>
      <c r="G11" s="6">
        <f t="shared" si="0"/>
        <v>-1.4429904455666946</v>
      </c>
      <c r="L11" s="5" t="s">
        <v>13</v>
      </c>
      <c r="M11" s="22">
        <v>1.0000000000000011</v>
      </c>
    </row>
    <row r="12" spans="1:13" x14ac:dyDescent="0.25">
      <c r="A12" s="5" t="s">
        <v>14</v>
      </c>
      <c r="B12" s="8">
        <v>118012</v>
      </c>
      <c r="C12" s="8">
        <v>58986</v>
      </c>
      <c r="D12" s="8">
        <v>104000</v>
      </c>
      <c r="E12" s="9">
        <v>109834</v>
      </c>
      <c r="F12" s="9">
        <v>6905</v>
      </c>
      <c r="G12" s="6">
        <f t="shared" si="0"/>
        <v>-2.4893402774956908</v>
      </c>
      <c r="L12" s="5" t="s">
        <v>14</v>
      </c>
      <c r="M12" s="21">
        <v>0.84147247651890067</v>
      </c>
    </row>
    <row r="13" spans="1:13" x14ac:dyDescent="0.25">
      <c r="A13" s="5" t="s">
        <v>15</v>
      </c>
      <c r="B13" s="8">
        <v>37871</v>
      </c>
      <c r="C13" s="8">
        <v>14762</v>
      </c>
      <c r="D13" s="8">
        <v>675000</v>
      </c>
      <c r="E13" s="9">
        <v>93627</v>
      </c>
      <c r="F13" s="9">
        <v>2740</v>
      </c>
      <c r="G13" s="6">
        <f t="shared" si="0"/>
        <v>-5.1070259132757201E-15</v>
      </c>
      <c r="L13" s="5" t="s">
        <v>15</v>
      </c>
      <c r="M13" s="22">
        <v>0.99999999999999623</v>
      </c>
    </row>
    <row r="14" spans="1:13" x14ac:dyDescent="0.25">
      <c r="A14" s="5" t="s">
        <v>16</v>
      </c>
      <c r="B14" s="8">
        <v>91621</v>
      </c>
      <c r="C14" s="8">
        <v>29907</v>
      </c>
      <c r="D14" s="8">
        <v>331852</v>
      </c>
      <c r="E14" s="9">
        <v>84167</v>
      </c>
      <c r="F14" s="9">
        <v>1469</v>
      </c>
      <c r="G14" s="6">
        <f t="shared" si="0"/>
        <v>-2.5501080253481923</v>
      </c>
      <c r="L14" s="5" t="s">
        <v>16</v>
      </c>
      <c r="M14" s="21">
        <v>0.38606081084663968</v>
      </c>
    </row>
    <row r="15" spans="1:13" x14ac:dyDescent="0.25">
      <c r="A15" s="5" t="s">
        <v>17</v>
      </c>
      <c r="B15" s="8">
        <v>364763</v>
      </c>
      <c r="C15" s="8">
        <v>2242</v>
      </c>
      <c r="D15" s="8">
        <v>89690</v>
      </c>
      <c r="E15" s="9">
        <v>83207</v>
      </c>
      <c r="F15" s="9">
        <v>2427</v>
      </c>
      <c r="G15" s="6">
        <f t="shared" si="0"/>
        <v>-13.779139528615206</v>
      </c>
      <c r="L15" s="5" t="s">
        <v>17</v>
      </c>
      <c r="M15" s="22">
        <v>0.99999999999999378</v>
      </c>
    </row>
    <row r="16" spans="1:13" x14ac:dyDescent="0.25">
      <c r="A16" s="5" t="s">
        <v>18</v>
      </c>
      <c r="B16" s="8">
        <v>127077</v>
      </c>
      <c r="C16" s="8">
        <v>42240</v>
      </c>
      <c r="D16" s="8">
        <v>231400</v>
      </c>
      <c r="E16" s="9">
        <v>81937</v>
      </c>
      <c r="F16" s="9">
        <v>2209</v>
      </c>
      <c r="G16" s="6">
        <f t="shared" si="0"/>
        <v>-3.9380748104840033</v>
      </c>
      <c r="L16" s="5" t="s">
        <v>18</v>
      </c>
      <c r="M16" s="21">
        <v>0.34855267665878192</v>
      </c>
    </row>
    <row r="17" spans="1:13" x14ac:dyDescent="0.25">
      <c r="A17" s="5" t="s">
        <v>19</v>
      </c>
      <c r="B17" s="8">
        <v>88884</v>
      </c>
      <c r="C17" s="8">
        <v>17274</v>
      </c>
      <c r="D17" s="8">
        <v>299300</v>
      </c>
      <c r="E17" s="9">
        <v>79609</v>
      </c>
      <c r="F17" s="9">
        <v>139</v>
      </c>
      <c r="G17" s="6">
        <f t="shared" si="0"/>
        <v>-2.6986073136020101</v>
      </c>
      <c r="L17" s="5" t="s">
        <v>19</v>
      </c>
      <c r="M17" s="23">
        <v>0.27037203877318827</v>
      </c>
    </row>
    <row r="18" spans="1:13" x14ac:dyDescent="0.25">
      <c r="B18" s="1">
        <v>4.1611620917173043E-5</v>
      </c>
      <c r="C18" s="1">
        <v>0</v>
      </c>
      <c r="D18" s="1">
        <v>0</v>
      </c>
      <c r="E18" s="7">
        <v>1.2290469324483982E-5</v>
      </c>
      <c r="F18" s="1">
        <v>1.5516566580685891E-4</v>
      </c>
    </row>
    <row r="20" spans="1:13" x14ac:dyDescent="0.25">
      <c r="A20" s="2" t="s">
        <v>20</v>
      </c>
      <c r="B20" s="4">
        <v>15</v>
      </c>
      <c r="C20" s="4"/>
    </row>
    <row r="23" spans="1:13" x14ac:dyDescent="0.25">
      <c r="A23" s="3" t="s">
        <v>37</v>
      </c>
      <c r="B23" s="13">
        <f>SUMPRODUCT($E$18:$F$18,INDEX(E3:F17,B20,0))</f>
        <v>0.99999999999999867</v>
      </c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3" x14ac:dyDescent="0.25">
      <c r="A24" t="s">
        <v>3</v>
      </c>
      <c r="B24">
        <f>SUMPRODUCT($B$18:$D$18,INDEX(B3:D17,B20,0))</f>
        <v>3.6986073136020088</v>
      </c>
    </row>
    <row r="25" spans="1:13" x14ac:dyDescent="0.25">
      <c r="A25" t="s">
        <v>38</v>
      </c>
      <c r="B25">
        <f>1/B24</f>
        <v>0.27037203877318827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Dügme2_Tikla">
                <anchor moveWithCells="1" sizeWithCells="1">
                  <from>
                    <xdr:col>5</xdr:col>
                    <xdr:colOff>304800</xdr:colOff>
                    <xdr:row>22</xdr:row>
                    <xdr:rowOff>28575</xdr:rowOff>
                  </from>
                  <to>
                    <xdr:col>7</xdr:col>
                    <xdr:colOff>152400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EC8DF-7A88-44F7-A777-7A386AF5BD9E}">
  <sheetPr codeName="Sayfa3"/>
  <dimension ref="A2:R24"/>
  <sheetViews>
    <sheetView tabSelected="1" workbookViewId="0">
      <selection activeCell="N22" sqref="N22"/>
    </sheetView>
  </sheetViews>
  <sheetFormatPr defaultRowHeight="15" x14ac:dyDescent="0.25"/>
  <cols>
    <col min="1" max="1" width="14.5703125" customWidth="1"/>
    <col min="2" max="2" width="31.7109375" customWidth="1"/>
    <col min="6" max="6" width="9.85546875" customWidth="1"/>
    <col min="14" max="14" width="22" customWidth="1"/>
    <col min="19" max="19" width="9.42578125" customWidth="1"/>
  </cols>
  <sheetData>
    <row r="2" spans="2:18" x14ac:dyDescent="0.25">
      <c r="C2" s="20" t="s">
        <v>24</v>
      </c>
      <c r="D2" s="20" t="s">
        <v>33</v>
      </c>
      <c r="E2" s="20" t="s">
        <v>34</v>
      </c>
      <c r="F2" s="20" t="s">
        <v>36</v>
      </c>
      <c r="G2" s="20" t="s">
        <v>35</v>
      </c>
      <c r="M2" s="26" t="s">
        <v>25</v>
      </c>
      <c r="N2" s="26"/>
      <c r="O2" s="26"/>
      <c r="P2" s="26"/>
      <c r="Q2" s="26"/>
      <c r="R2" s="26"/>
    </row>
    <row r="3" spans="2:18" x14ac:dyDescent="0.25">
      <c r="B3" s="18" t="s">
        <v>5</v>
      </c>
      <c r="C3" s="8">
        <v>91921</v>
      </c>
      <c r="D3" s="8">
        <v>10950</v>
      </c>
      <c r="E3" s="8">
        <v>36000</v>
      </c>
      <c r="F3" s="9">
        <v>184365</v>
      </c>
      <c r="G3" s="9">
        <v>346</v>
      </c>
      <c r="H3" s="19">
        <f>SUMPRODUCT($F$18:$G$18,F3:G3)-SUMPRODUCT($C$18:$E$18,C3:E3)+$B$24</f>
        <v>-0.44692928703283308</v>
      </c>
      <c r="N3" s="18" t="s">
        <v>5</v>
      </c>
      <c r="O3" s="28">
        <v>0.99999999999999911</v>
      </c>
    </row>
    <row r="4" spans="2:18" x14ac:dyDescent="0.25">
      <c r="B4" s="18" t="s">
        <v>6</v>
      </c>
      <c r="C4" s="8">
        <v>68771</v>
      </c>
      <c r="D4" s="8">
        <v>5554</v>
      </c>
      <c r="E4" s="8">
        <v>80000</v>
      </c>
      <c r="F4" s="9">
        <v>181519</v>
      </c>
      <c r="G4" s="9">
        <v>315</v>
      </c>
      <c r="H4" s="19">
        <f t="shared" ref="H4:H17" si="0">SUMPRODUCT($F$18:$G$18,F4:G4)-SUMPRODUCT($C$18:$E$18,C4:E4)+$B$24</f>
        <v>-0.21041743797288837</v>
      </c>
      <c r="N4" s="18" t="s">
        <v>6</v>
      </c>
      <c r="O4" s="28">
        <v>0.99999999999999967</v>
      </c>
    </row>
    <row r="5" spans="2:18" x14ac:dyDescent="0.25">
      <c r="B5" s="18" t="s">
        <v>7</v>
      </c>
      <c r="C5" s="8">
        <v>65709</v>
      </c>
      <c r="D5" s="8">
        <v>4271</v>
      </c>
      <c r="E5" s="8">
        <v>7182</v>
      </c>
      <c r="F5" s="9">
        <v>169165</v>
      </c>
      <c r="G5" s="9">
        <v>121</v>
      </c>
      <c r="H5" s="19">
        <f t="shared" si="0"/>
        <v>-0.16369757577963162</v>
      </c>
      <c r="N5" s="18" t="s">
        <v>7</v>
      </c>
      <c r="O5" s="28">
        <v>1</v>
      </c>
    </row>
    <row r="6" spans="2:18" x14ac:dyDescent="0.25">
      <c r="B6" s="18" t="s">
        <v>8</v>
      </c>
      <c r="C6" s="8">
        <v>217123</v>
      </c>
      <c r="D6" s="8">
        <v>23346</v>
      </c>
      <c r="E6" s="8">
        <v>709000</v>
      </c>
      <c r="F6" s="9">
        <v>168829</v>
      </c>
      <c r="G6" s="9">
        <v>6881</v>
      </c>
      <c r="H6" s="19">
        <f t="shared" si="0"/>
        <v>-1.9048814105870617</v>
      </c>
      <c r="N6" s="18" t="s">
        <v>8</v>
      </c>
      <c r="O6" s="28">
        <v>1</v>
      </c>
    </row>
    <row r="7" spans="2:18" x14ac:dyDescent="0.25">
      <c r="B7" s="18" t="s">
        <v>9</v>
      </c>
      <c r="C7" s="8">
        <v>50269</v>
      </c>
      <c r="D7" s="8">
        <v>6681</v>
      </c>
      <c r="E7" s="8">
        <v>6193</v>
      </c>
      <c r="F7" s="9">
        <v>167531</v>
      </c>
      <c r="G7" s="9">
        <v>211</v>
      </c>
      <c r="H7" s="19">
        <f t="shared" si="0"/>
        <v>0</v>
      </c>
      <c r="N7" s="18" t="s">
        <v>9</v>
      </c>
      <c r="O7" s="28">
        <v>1</v>
      </c>
    </row>
    <row r="8" spans="2:18" x14ac:dyDescent="0.25">
      <c r="B8" s="18" t="s">
        <v>10</v>
      </c>
      <c r="C8" s="8">
        <v>71439</v>
      </c>
      <c r="D8" s="8">
        <v>5239</v>
      </c>
      <c r="E8" s="8">
        <v>6702</v>
      </c>
      <c r="F8" s="9">
        <v>161057</v>
      </c>
      <c r="G8" s="9">
        <v>157</v>
      </c>
      <c r="H8" s="19">
        <f t="shared" si="0"/>
        <v>-0.22428176002617062</v>
      </c>
      <c r="N8" s="18" t="s">
        <v>10</v>
      </c>
      <c r="O8" s="28">
        <v>1</v>
      </c>
    </row>
    <row r="9" spans="2:18" x14ac:dyDescent="0.25">
      <c r="B9" s="18" t="s">
        <v>11</v>
      </c>
      <c r="C9" s="8">
        <v>243283</v>
      </c>
      <c r="D9" s="8">
        <v>24547</v>
      </c>
      <c r="E9" s="8">
        <v>346990</v>
      </c>
      <c r="F9" s="9">
        <v>137137</v>
      </c>
      <c r="G9" s="9">
        <v>4139</v>
      </c>
      <c r="H9" s="19">
        <f t="shared" si="0"/>
        <v>-2.1108411427493485</v>
      </c>
      <c r="N9" s="18" t="s">
        <v>11</v>
      </c>
      <c r="O9" s="29">
        <v>0.73754210911023221</v>
      </c>
    </row>
    <row r="10" spans="2:18" x14ac:dyDescent="0.25">
      <c r="B10" s="18" t="s">
        <v>12</v>
      </c>
      <c r="C10" s="8">
        <v>106004</v>
      </c>
      <c r="D10" s="8">
        <v>49692</v>
      </c>
      <c r="E10" s="8">
        <v>146855</v>
      </c>
      <c r="F10" s="9">
        <v>111052</v>
      </c>
      <c r="G10" s="9">
        <v>2662</v>
      </c>
      <c r="H10" s="19">
        <f t="shared" si="0"/>
        <v>-0.61782397218781226</v>
      </c>
      <c r="N10" s="18" t="s">
        <v>12</v>
      </c>
      <c r="O10" s="29">
        <v>0.60320406223735568</v>
      </c>
    </row>
    <row r="11" spans="2:18" x14ac:dyDescent="0.25">
      <c r="B11" s="18" t="s">
        <v>13</v>
      </c>
      <c r="C11" s="8">
        <v>91296</v>
      </c>
      <c r="D11" s="8">
        <v>40436</v>
      </c>
      <c r="E11" s="8">
        <v>82000</v>
      </c>
      <c r="F11" s="9">
        <v>110009</v>
      </c>
      <c r="G11" s="9">
        <v>6470</v>
      </c>
      <c r="H11" s="19">
        <f t="shared" si="0"/>
        <v>-0.44934079667922366</v>
      </c>
      <c r="N11" s="18" t="s">
        <v>13</v>
      </c>
      <c r="O11" s="28">
        <v>1</v>
      </c>
    </row>
    <row r="12" spans="2:18" x14ac:dyDescent="0.25">
      <c r="B12" s="18" t="s">
        <v>14</v>
      </c>
      <c r="C12" s="8">
        <v>118012</v>
      </c>
      <c r="D12" s="8">
        <v>58986</v>
      </c>
      <c r="E12" s="8">
        <v>104000</v>
      </c>
      <c r="F12" s="9">
        <v>109834</v>
      </c>
      <c r="G12" s="9">
        <v>6905</v>
      </c>
      <c r="H12" s="19">
        <f t="shared" si="0"/>
        <v>-0.73657126203413426</v>
      </c>
      <c r="N12" s="18" t="s">
        <v>14</v>
      </c>
      <c r="O12" s="28">
        <v>1</v>
      </c>
    </row>
    <row r="13" spans="2:18" x14ac:dyDescent="0.25">
      <c r="B13" s="18" t="s">
        <v>15</v>
      </c>
      <c r="C13" s="8">
        <v>37871</v>
      </c>
      <c r="D13" s="8">
        <v>14762</v>
      </c>
      <c r="E13" s="8">
        <v>675000</v>
      </c>
      <c r="F13" s="9">
        <v>93627</v>
      </c>
      <c r="G13" s="9">
        <v>2740</v>
      </c>
      <c r="H13" s="19">
        <f t="shared" si="0"/>
        <v>0</v>
      </c>
      <c r="N13" s="18" t="s">
        <v>15</v>
      </c>
      <c r="O13" s="28">
        <v>1</v>
      </c>
    </row>
    <row r="14" spans="2:18" x14ac:dyDescent="0.25">
      <c r="B14" s="18" t="s">
        <v>16</v>
      </c>
      <c r="C14" s="8">
        <v>91621</v>
      </c>
      <c r="D14" s="8">
        <v>29907</v>
      </c>
      <c r="E14" s="8">
        <v>331852</v>
      </c>
      <c r="F14" s="9">
        <v>84167</v>
      </c>
      <c r="G14" s="9">
        <v>1469</v>
      </c>
      <c r="H14" s="19">
        <f t="shared" si="0"/>
        <v>-0.50182950456924047</v>
      </c>
      <c r="N14" s="18" t="s">
        <v>16</v>
      </c>
      <c r="O14" s="29">
        <v>0.55758772328948436</v>
      </c>
    </row>
    <row r="15" spans="2:18" x14ac:dyDescent="0.25">
      <c r="B15" s="18" t="s">
        <v>17</v>
      </c>
      <c r="C15" s="8">
        <v>364763</v>
      </c>
      <c r="D15" s="8">
        <v>2242</v>
      </c>
      <c r="E15" s="8">
        <v>89690</v>
      </c>
      <c r="F15" s="9">
        <v>83207</v>
      </c>
      <c r="G15" s="9">
        <v>2427</v>
      </c>
      <c r="H15" s="19">
        <f t="shared" si="0"/>
        <v>-3.3467566382745861</v>
      </c>
      <c r="N15" s="18" t="s">
        <v>17</v>
      </c>
      <c r="O15" s="28">
        <v>1</v>
      </c>
    </row>
    <row r="16" spans="2:18" x14ac:dyDescent="0.25">
      <c r="B16" s="18" t="s">
        <v>18</v>
      </c>
      <c r="C16" s="8">
        <v>127077</v>
      </c>
      <c r="D16" s="8">
        <v>42240</v>
      </c>
      <c r="E16" s="8">
        <v>231400</v>
      </c>
      <c r="F16" s="9">
        <v>81937</v>
      </c>
      <c r="G16" s="9">
        <v>2209</v>
      </c>
      <c r="H16" s="19">
        <f t="shared" si="0"/>
        <v>-0.85757519125493631</v>
      </c>
      <c r="N16" s="18" t="s">
        <v>18</v>
      </c>
      <c r="O16" s="29">
        <v>0.4705916178117725</v>
      </c>
    </row>
    <row r="17" spans="1:15" x14ac:dyDescent="0.25">
      <c r="B17" s="18" t="s">
        <v>19</v>
      </c>
      <c r="C17" s="8">
        <v>88884</v>
      </c>
      <c r="D17" s="8">
        <v>17274</v>
      </c>
      <c r="E17" s="8">
        <v>299300</v>
      </c>
      <c r="F17" s="9">
        <v>79609</v>
      </c>
      <c r="G17" s="9">
        <v>139</v>
      </c>
      <c r="H17" s="19">
        <f t="shared" si="0"/>
        <v>-0.4664556620603908</v>
      </c>
      <c r="N17" s="18" t="s">
        <v>19</v>
      </c>
      <c r="O17" s="29">
        <v>0.5335443379396092</v>
      </c>
    </row>
    <row r="18" spans="1:15" x14ac:dyDescent="0.25">
      <c r="C18" s="14">
        <v>1.0589600425292699E-5</v>
      </c>
      <c r="D18" s="14">
        <v>0</v>
      </c>
      <c r="E18" s="14">
        <v>1.9630456330866586E-7</v>
      </c>
      <c r="F18" s="14">
        <v>0</v>
      </c>
      <c r="G18" s="14">
        <v>0</v>
      </c>
    </row>
    <row r="19" spans="1:15" x14ac:dyDescent="0.25">
      <c r="C19" t="s">
        <v>26</v>
      </c>
      <c r="E19" t="s">
        <v>27</v>
      </c>
      <c r="G19" t="s">
        <v>28</v>
      </c>
    </row>
    <row r="20" spans="1:15" x14ac:dyDescent="0.25">
      <c r="A20" s="15" t="s">
        <v>29</v>
      </c>
      <c r="B20" s="16">
        <v>15</v>
      </c>
    </row>
    <row r="22" spans="1:15" x14ac:dyDescent="0.25">
      <c r="A22" s="15" t="s">
        <v>30</v>
      </c>
      <c r="B22" s="17">
        <f>SUMPRODUCT(F18:G18,INDEX(F3:G17,B20,0))+$B$24</f>
        <v>0.5335443379396092</v>
      </c>
    </row>
    <row r="23" spans="1:15" x14ac:dyDescent="0.25">
      <c r="A23" t="s">
        <v>31</v>
      </c>
      <c r="B23">
        <f>SUMPRODUCT(C18:E18,INDEX(C3:E17,B20,0))</f>
        <v>1</v>
      </c>
    </row>
    <row r="24" spans="1:15" x14ac:dyDescent="0.25">
      <c r="A24" s="15" t="s">
        <v>32</v>
      </c>
      <c r="B24" s="1">
        <v>0.5335443379396092</v>
      </c>
    </row>
  </sheetData>
  <mergeCells count="1">
    <mergeCell ref="M2:R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Düğme1_Tıkla">
                <anchor moveWithCells="1" sizeWithCells="1">
                  <from>
                    <xdr:col>5</xdr:col>
                    <xdr:colOff>323850</xdr:colOff>
                    <xdr:row>22</xdr:row>
                    <xdr:rowOff>114300</xdr:rowOff>
                  </from>
                  <to>
                    <xdr:col>8</xdr:col>
                    <xdr:colOff>342900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C3AF-0458-4EDF-B33F-904D5D8340EA}">
  <sheetPr codeName="Sayfa4"/>
  <dimension ref="A2:O26"/>
  <sheetViews>
    <sheetView workbookViewId="0">
      <selection activeCell="K25" sqref="K25"/>
    </sheetView>
  </sheetViews>
  <sheetFormatPr defaultRowHeight="15" x14ac:dyDescent="0.25"/>
  <cols>
    <col min="1" max="1" width="31.140625" bestFit="1" customWidth="1"/>
    <col min="12" max="12" width="5.140625" customWidth="1"/>
    <col min="13" max="13" width="3.42578125" customWidth="1"/>
    <col min="14" max="14" width="23.42578125" customWidth="1"/>
  </cols>
  <sheetData>
    <row r="2" spans="1:15" x14ac:dyDescent="0.25">
      <c r="B2" t="s">
        <v>0</v>
      </c>
      <c r="C2" t="s">
        <v>1</v>
      </c>
      <c r="D2" t="s">
        <v>23</v>
      </c>
      <c r="E2" t="s">
        <v>22</v>
      </c>
      <c r="F2" t="s">
        <v>21</v>
      </c>
      <c r="N2" s="27" t="s">
        <v>25</v>
      </c>
      <c r="O2" s="27"/>
    </row>
    <row r="3" spans="1:15" x14ac:dyDescent="0.25">
      <c r="A3" s="5" t="s">
        <v>5</v>
      </c>
      <c r="B3" s="8">
        <v>91921</v>
      </c>
      <c r="C3" s="8">
        <v>10950</v>
      </c>
      <c r="D3" s="8">
        <v>36000</v>
      </c>
      <c r="E3" s="9">
        <v>184365</v>
      </c>
      <c r="F3" s="9">
        <v>346</v>
      </c>
      <c r="G3" s="6">
        <f>SUMPRODUCT($E$18:$F$18,E3:F3) - SUMPRODUCT($B$18:$D$18,B3:D3) - $B$26</f>
        <v>-0.66059135725588081</v>
      </c>
      <c r="N3" s="5" t="s">
        <v>5</v>
      </c>
      <c r="O3" s="11">
        <v>1</v>
      </c>
    </row>
    <row r="4" spans="1:15" x14ac:dyDescent="0.25">
      <c r="A4" s="5" t="s">
        <v>6</v>
      </c>
      <c r="B4" s="8">
        <v>68771</v>
      </c>
      <c r="C4" s="8">
        <v>5554</v>
      </c>
      <c r="D4" s="8">
        <v>80000</v>
      </c>
      <c r="E4" s="9">
        <v>181519</v>
      </c>
      <c r="F4" s="9">
        <v>315</v>
      </c>
      <c r="G4" s="6">
        <f t="shared" ref="G4:G17" si="0">SUMPRODUCT($E$18:$F$18,E4:F4) - SUMPRODUCT($B$18:$D$18,B4:D4) - $B$26</f>
        <v>-0.20353701272168756</v>
      </c>
      <c r="N4" s="5" t="s">
        <v>6</v>
      </c>
      <c r="O4" s="25">
        <v>0.99211022735960175</v>
      </c>
    </row>
    <row r="5" spans="1:15" x14ac:dyDescent="0.25">
      <c r="A5" s="5" t="s">
        <v>7</v>
      </c>
      <c r="B5" s="8">
        <v>65709</v>
      </c>
      <c r="C5" s="8">
        <v>4271</v>
      </c>
      <c r="D5" s="8">
        <v>7182</v>
      </c>
      <c r="E5" s="9">
        <v>169165</v>
      </c>
      <c r="F5" s="9">
        <v>121</v>
      </c>
      <c r="G5" s="6">
        <f t="shared" si="0"/>
        <v>-0.33555860148076233</v>
      </c>
      <c r="N5" s="5" t="s">
        <v>7</v>
      </c>
      <c r="O5" s="25">
        <v>0.98238997801360528</v>
      </c>
    </row>
    <row r="6" spans="1:15" x14ac:dyDescent="0.25">
      <c r="A6" s="5" t="s">
        <v>8</v>
      </c>
      <c r="B6" s="8">
        <v>217123</v>
      </c>
      <c r="C6" s="8">
        <v>23346</v>
      </c>
      <c r="D6" s="8">
        <v>709000</v>
      </c>
      <c r="E6" s="9">
        <v>168829</v>
      </c>
      <c r="F6" s="9">
        <v>6881</v>
      </c>
      <c r="G6" s="6">
        <f t="shared" si="0"/>
        <v>-1.92424003493749</v>
      </c>
      <c r="N6" s="5" t="s">
        <v>8</v>
      </c>
      <c r="O6" s="11">
        <v>1</v>
      </c>
    </row>
    <row r="7" spans="1:15" x14ac:dyDescent="0.25">
      <c r="A7" s="5" t="s">
        <v>9</v>
      </c>
      <c r="B7" s="8">
        <v>50269</v>
      </c>
      <c r="C7" s="8">
        <v>6681</v>
      </c>
      <c r="D7" s="8">
        <v>6193</v>
      </c>
      <c r="E7" s="9">
        <v>167531</v>
      </c>
      <c r="F7" s="9">
        <v>211</v>
      </c>
      <c r="G7" s="6">
        <f t="shared" si="0"/>
        <v>0</v>
      </c>
      <c r="N7" s="5" t="s">
        <v>9</v>
      </c>
      <c r="O7" s="25">
        <v>0.98300787407477841</v>
      </c>
    </row>
    <row r="8" spans="1:15" x14ac:dyDescent="0.25">
      <c r="A8" s="5" t="s">
        <v>10</v>
      </c>
      <c r="B8" s="8">
        <v>71439</v>
      </c>
      <c r="C8" s="8">
        <v>5239</v>
      </c>
      <c r="D8" s="8">
        <v>6702</v>
      </c>
      <c r="E8" s="9">
        <v>161057</v>
      </c>
      <c r="F8" s="9">
        <v>157</v>
      </c>
      <c r="G8" s="6">
        <f t="shared" si="0"/>
        <v>-0.54851348005888623</v>
      </c>
      <c r="N8" s="5" t="s">
        <v>10</v>
      </c>
      <c r="O8" s="25">
        <v>0.95696114459540738</v>
      </c>
    </row>
    <row r="9" spans="1:15" x14ac:dyDescent="0.25">
      <c r="A9" s="5" t="s">
        <v>11</v>
      </c>
      <c r="B9" s="8">
        <v>243283</v>
      </c>
      <c r="C9" s="8">
        <v>24547</v>
      </c>
      <c r="D9" s="8">
        <v>346990</v>
      </c>
      <c r="E9" s="9">
        <v>137137</v>
      </c>
      <c r="F9" s="9">
        <v>4139</v>
      </c>
      <c r="G9" s="6">
        <f t="shared" si="0"/>
        <v>-3.5545966438321486</v>
      </c>
      <c r="N9" s="5" t="s">
        <v>11</v>
      </c>
      <c r="O9" s="25">
        <v>0.85627242898485112</v>
      </c>
    </row>
    <row r="10" spans="1:15" x14ac:dyDescent="0.25">
      <c r="A10" s="5" t="s">
        <v>12</v>
      </c>
      <c r="B10" s="8">
        <v>106004</v>
      </c>
      <c r="C10" s="8">
        <v>49692</v>
      </c>
      <c r="D10" s="8">
        <v>146855</v>
      </c>
      <c r="E10" s="9">
        <v>111052</v>
      </c>
      <c r="F10" s="9">
        <v>2662</v>
      </c>
      <c r="G10" s="6">
        <f t="shared" si="0"/>
        <v>-1.2775055400335487</v>
      </c>
      <c r="N10" s="5" t="s">
        <v>12</v>
      </c>
      <c r="O10" s="25">
        <v>0.71350305897632471</v>
      </c>
    </row>
    <row r="11" spans="1:15" x14ac:dyDescent="0.25">
      <c r="A11" s="5" t="s">
        <v>13</v>
      </c>
      <c r="B11" s="8">
        <v>91296</v>
      </c>
      <c r="C11" s="8">
        <v>40436</v>
      </c>
      <c r="D11" s="8">
        <v>82000</v>
      </c>
      <c r="E11" s="9">
        <v>110009</v>
      </c>
      <c r="F11" s="9">
        <v>6470</v>
      </c>
      <c r="G11" s="6">
        <f t="shared" si="0"/>
        <v>-2.6047288525278267E-2</v>
      </c>
      <c r="N11" s="5" t="s">
        <v>13</v>
      </c>
      <c r="O11" s="25">
        <v>0.97066022635861715</v>
      </c>
    </row>
    <row r="12" spans="1:15" x14ac:dyDescent="0.25">
      <c r="A12" s="5" t="s">
        <v>14</v>
      </c>
      <c r="B12" s="8">
        <v>118012</v>
      </c>
      <c r="C12" s="8">
        <v>58986</v>
      </c>
      <c r="D12" s="8">
        <v>104000</v>
      </c>
      <c r="E12" s="9">
        <v>109834</v>
      </c>
      <c r="F12" s="9">
        <v>6905</v>
      </c>
      <c r="G12" s="6">
        <f t="shared" si="0"/>
        <v>-0.49618721091953244</v>
      </c>
      <c r="N12" s="5" t="s">
        <v>14</v>
      </c>
      <c r="O12" s="11">
        <v>0.99999999999999978</v>
      </c>
    </row>
    <row r="13" spans="1:15" x14ac:dyDescent="0.25">
      <c r="A13" s="5" t="s">
        <v>15</v>
      </c>
      <c r="B13" s="8">
        <v>37871</v>
      </c>
      <c r="C13" s="8">
        <v>14762</v>
      </c>
      <c r="D13" s="8">
        <v>675000</v>
      </c>
      <c r="E13" s="9">
        <v>93627</v>
      </c>
      <c r="F13" s="9">
        <v>2740</v>
      </c>
      <c r="G13" s="6">
        <f t="shared" si="0"/>
        <v>0</v>
      </c>
      <c r="N13" s="5" t="s">
        <v>15</v>
      </c>
      <c r="O13" s="25">
        <v>0.82053653822848138</v>
      </c>
    </row>
    <row r="14" spans="1:15" x14ac:dyDescent="0.25">
      <c r="A14" s="5" t="s">
        <v>16</v>
      </c>
      <c r="B14" s="8">
        <v>91621</v>
      </c>
      <c r="C14" s="8">
        <v>29907</v>
      </c>
      <c r="D14" s="8">
        <v>331852</v>
      </c>
      <c r="E14" s="9">
        <v>84167</v>
      </c>
      <c r="F14" s="9">
        <v>1469</v>
      </c>
      <c r="G14" s="6">
        <f t="shared" si="0"/>
        <v>-1.5899991866010033</v>
      </c>
      <c r="N14" s="5" t="s">
        <v>16</v>
      </c>
      <c r="O14" s="25">
        <v>0.49336881870005395</v>
      </c>
    </row>
    <row r="15" spans="1:15" x14ac:dyDescent="0.25">
      <c r="A15" s="5" t="s">
        <v>17</v>
      </c>
      <c r="B15" s="8">
        <v>364763</v>
      </c>
      <c r="C15" s="8">
        <v>2242</v>
      </c>
      <c r="D15" s="8">
        <v>89690</v>
      </c>
      <c r="E15" s="9">
        <v>83207</v>
      </c>
      <c r="F15" s="9">
        <v>2427</v>
      </c>
      <c r="G15" s="6">
        <f t="shared" si="0"/>
        <v>-7.2542881431606023</v>
      </c>
      <c r="N15" s="5" t="s">
        <v>17</v>
      </c>
      <c r="O15" s="25">
        <v>0.88405983763141627</v>
      </c>
    </row>
    <row r="16" spans="1:15" x14ac:dyDescent="0.25">
      <c r="A16" s="5" t="s">
        <v>18</v>
      </c>
      <c r="B16" s="8">
        <v>127077</v>
      </c>
      <c r="C16" s="8">
        <v>42240</v>
      </c>
      <c r="D16" s="8">
        <v>231400</v>
      </c>
      <c r="E16" s="9">
        <v>81937</v>
      </c>
      <c r="F16" s="9">
        <v>2209</v>
      </c>
      <c r="G16" s="6">
        <f t="shared" si="0"/>
        <v>-2.1977150198301807</v>
      </c>
      <c r="N16" s="5" t="s">
        <v>18</v>
      </c>
      <c r="O16" s="25">
        <v>0.46785739736525672</v>
      </c>
    </row>
    <row r="17" spans="1:15" x14ac:dyDescent="0.25">
      <c r="A17" s="5" t="s">
        <v>19</v>
      </c>
      <c r="B17" s="8">
        <v>88884</v>
      </c>
      <c r="C17" s="8">
        <v>17274</v>
      </c>
      <c r="D17" s="8">
        <v>299300</v>
      </c>
      <c r="E17" s="9">
        <v>79609</v>
      </c>
      <c r="F17" s="9">
        <v>139</v>
      </c>
      <c r="G17" s="6">
        <f t="shared" si="0"/>
        <v>-1.9169644862736785</v>
      </c>
      <c r="N17" s="5" t="s">
        <v>19</v>
      </c>
      <c r="O17" s="25">
        <v>0.34282213743283024</v>
      </c>
    </row>
    <row r="18" spans="1:15" x14ac:dyDescent="0.25">
      <c r="B18" s="1">
        <v>2.1567036657595052E-5</v>
      </c>
      <c r="C18" s="1">
        <v>0</v>
      </c>
      <c r="D18" s="1">
        <v>0</v>
      </c>
      <c r="E18" s="7">
        <v>1.2127224287011987E-5</v>
      </c>
      <c r="F18" s="1">
        <v>2.4866044413858078E-4</v>
      </c>
    </row>
    <row r="20" spans="1:15" x14ac:dyDescent="0.25">
      <c r="A20" s="2" t="s">
        <v>20</v>
      </c>
      <c r="B20" s="4">
        <v>15</v>
      </c>
      <c r="C20" s="4"/>
    </row>
    <row r="23" spans="1:15" x14ac:dyDescent="0.25">
      <c r="A23" s="3" t="s">
        <v>37</v>
      </c>
      <c r="B23" s="13">
        <f>SUMPRODUCT($E$18:$F$18,INDEX(E3:F17,B20,0))</f>
        <v>1</v>
      </c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5" x14ac:dyDescent="0.25">
      <c r="A24" t="s">
        <v>3</v>
      </c>
      <c r="B24">
        <f>SUMPRODUCT($B$18:$D$18,INDEX(B3:D17,B20,0)) + B26</f>
        <v>2.9169644862736783</v>
      </c>
    </row>
    <row r="25" spans="1:15" x14ac:dyDescent="0.25">
      <c r="A25" t="s">
        <v>38</v>
      </c>
      <c r="B25">
        <f>1/B24</f>
        <v>0.34282213743283024</v>
      </c>
    </row>
    <row r="26" spans="1:15" x14ac:dyDescent="0.25">
      <c r="A26" s="1" t="s">
        <v>39</v>
      </c>
      <c r="B26" s="24">
        <v>1</v>
      </c>
    </row>
  </sheetData>
  <mergeCells count="1">
    <mergeCell ref="N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O_VRS_Düğme3_Tıkla">
                <anchor moveWithCells="1" sizeWithCells="1">
                  <from>
                    <xdr:col>5</xdr:col>
                    <xdr:colOff>57150</xdr:colOff>
                    <xdr:row>22</xdr:row>
                    <xdr:rowOff>57150</xdr:rowOff>
                  </from>
                  <to>
                    <xdr:col>7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IO_CRS</vt:lpstr>
      <vt:lpstr>OO_CRS</vt:lpstr>
      <vt:lpstr>IO_VRS</vt:lpstr>
      <vt:lpstr>OO_VRS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t69048</dc:creator>
  <cp:lastModifiedBy>t69048</cp:lastModifiedBy>
  <dcterms:created xsi:type="dcterms:W3CDTF">2025-04-10T11:18:09Z</dcterms:created>
  <dcterms:modified xsi:type="dcterms:W3CDTF">2025-05-13T17:33:56Z</dcterms:modified>
</cp:coreProperties>
</file>